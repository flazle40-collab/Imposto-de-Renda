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sfl0506_inetpsa_com/Documents/Training/"/>
    </mc:Choice>
  </mc:AlternateContent>
  <xr:revisionPtr revIDLastSave="489" documentId="8_{DF8749AF-7AFB-43BC-9019-498B47D18B9A}" xr6:coauthVersionLast="47" xr6:coauthVersionMax="47" xr10:uidLastSave="{192F1438-A050-4071-8490-446D0807CCA5}"/>
  <bookViews>
    <workbookView xWindow="-110" yWindow="-110" windowWidth="19420" windowHeight="11500" tabRatio="0" xr2:uid="{6804C872-A181-47C6-AAA3-E34F5C53AC88}"/>
  </bookViews>
  <sheets>
    <sheet name="Titular" sheetId="5" r:id="rId1"/>
    <sheet name="Informes" sheetId="6" r:id="rId2"/>
    <sheet name="Notas" sheetId="7" r:id="rId3"/>
    <sheet name="Tabela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2" i="8"/>
</calcChain>
</file>

<file path=xl/sharedStrings.xml><?xml version="1.0" encoding="utf-8"?>
<sst xmlns="http://schemas.openxmlformats.org/spreadsheetml/2006/main" count="89" uniqueCount="78">
  <si>
    <t>NOME</t>
  </si>
  <si>
    <t>CPF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</si>
  <si>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</si>
  <si>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</si>
  <si>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</si>
  <si>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</si>
  <si>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</si>
  <si>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</si>
  <si>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</si>
  <si>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</si>
  <si>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</si>
  <si>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</si>
  <si>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TÍTULO ELEITOR</t>
  </si>
  <si>
    <t>1 - DADOS DO TITULAR</t>
  </si>
  <si>
    <t>preecha os dados da sua pessoa física abaixo</t>
  </si>
  <si>
    <t>SIM</t>
  </si>
  <si>
    <t>NÃO</t>
  </si>
  <si>
    <t>DINO DA SILVA SAUROS</t>
  </si>
  <si>
    <t>Rua dos Velociraptos, 250</t>
  </si>
  <si>
    <t>dino@prehistoria.com</t>
  </si>
  <si>
    <t>FRAM SAUROS</t>
  </si>
  <si>
    <t>preecha com seus dados atuais de cada banco</t>
  </si>
  <si>
    <t>BANCO</t>
  </si>
  <si>
    <t>VALOR ATUAL</t>
  </si>
  <si>
    <t>ANEXO</t>
  </si>
  <si>
    <t>Código (FEBRABAN)</t>
  </si>
  <si>
    <t>Nome da Instituição</t>
  </si>
  <si>
    <t>Banco do Brasil S.A.</t>
  </si>
  <si>
    <t>Banco da Amazônia S.A.</t>
  </si>
  <si>
    <t>Banco do Nordeste do Brasil S.A.</t>
  </si>
  <si>
    <t>BRB – Banco de Brasília S.A.</t>
  </si>
  <si>
    <t>Banco Inter S.A.</t>
  </si>
  <si>
    <t>Caixa Econômica Federal</t>
  </si>
  <si>
    <t>BTG Pactual S.A.</t>
  </si>
  <si>
    <t>Banco Bradesco S.A.</t>
  </si>
  <si>
    <t>Nubank (Nu Pagamentos S.A.)</t>
  </si>
  <si>
    <t>Banco Itaú Unibanco S.A.</t>
  </si>
  <si>
    <t>Banco Santander (Brasil) S.A.</t>
  </si>
  <si>
    <t>Banco ABC Brasil S.A.</t>
  </si>
  <si>
    <t>Banco Alfa S.A.</t>
  </si>
  <si>
    <t>Banco BMG S.A.</t>
  </si>
  <si>
    <t>Banco Bari de Investimentos e Financiamentos S.A.</t>
  </si>
  <si>
    <t>C6 Bank (C6 Bank S.A.)</t>
  </si>
  <si>
    <t>Banco Cetelem S.A.</t>
  </si>
  <si>
    <t>Banco Semear S.A.</t>
  </si>
  <si>
    <t>Banco Mercantil do Brasil S.A.</t>
  </si>
  <si>
    <t>Banco Safra S.A.</t>
  </si>
  <si>
    <t>Banco Voiter (ex-Banco Votorantim – códigos podem variar)</t>
  </si>
  <si>
    <t>Banco Citibank S.A.</t>
  </si>
  <si>
    <t>Banco Sifra S.A.</t>
  </si>
  <si>
    <t>AGK Corretora de Câmbio S.A. (banco/câmbio autorizado)</t>
  </si>
  <si>
    <t>Deutsche Bank S.A. Banco Múltiplo</t>
  </si>
  <si>
    <t>Banco VR S.A.</t>
  </si>
  <si>
    <t>Banco Alvorada S.A.</t>
  </si>
  <si>
    <t>Banco Simples S.A.</t>
  </si>
  <si>
    <t>Banco Modal S.A.</t>
  </si>
  <si>
    <t>Banestes – Banco do Estado do Espírito Santo S.A.</t>
  </si>
  <si>
    <t>Banrisul – Banco do Estado do Rio Grande do Sul S.A.</t>
  </si>
  <si>
    <t>Banco do Estado do Pará S.A. (Banpará)</t>
  </si>
  <si>
    <t>Unicred (confederação cooperativa, código cooperativo)</t>
  </si>
  <si>
    <t>Banco Cooperativo Sicredi S.A. (cooperativas)</t>
  </si>
  <si>
    <t>Ailos – Sistema de Cooperativas de Crédito</t>
  </si>
  <si>
    <t>Completo</t>
  </si>
  <si>
    <t>33 - Banco Santander (Brasil) S.A.</t>
  </si>
  <si>
    <t>Banco 1</t>
  </si>
  <si>
    <t>Banco 2</t>
  </si>
  <si>
    <t>237 - Banco Bradesco S.A.</t>
  </si>
  <si>
    <t>Banco 3</t>
  </si>
  <si>
    <t>208 - BTG Pactual S.A.</t>
  </si>
  <si>
    <t>Total</t>
  </si>
  <si>
    <t>2 - INFORME DE RENDIMENTOS BANCÁRIOS</t>
  </si>
  <si>
    <t>3 -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</si>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</sst>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00&quot;.&quot;000&quot;.&quot;000&quot;-&quot;00"/>
    <numFmt numFmtId="165" formatCode="00000\-000"/>
    <numFmt numFmtId="166" formatCode="&quot;(&quot;00&quot;)&quot;0000&quot;-&quot;0000"/>
    <numFmt numFmtId="173" formatCode="mmmm\-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b/>
      <i/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i/>
      <sz val="8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269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8"/>
      </bottom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4" borderId="0" xfId="0" applyFill="1"/>
    <xf numFmtId="0" fontId="3" fillId="4" borderId="0" xfId="0" applyFont="1" applyFill="1"/>
    <xf numFmtId="0" fontId="1" fillId="0" borderId="2" xfId="1" applyBorder="1"/>
    <xf numFmtId="0" fontId="6" fillId="0" borderId="0" xfId="0" applyFont="1" applyAlignment="1">
      <alignment horizontal="right"/>
    </xf>
    <xf numFmtId="0" fontId="7" fillId="0" borderId="2" xfId="1" applyFont="1" applyBorder="1"/>
    <xf numFmtId="0" fontId="1" fillId="4" borderId="2" xfId="1" applyFill="1" applyBorder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4" fillId="3" borderId="4" xfId="0" applyFont="1" applyFill="1" applyBorder="1" applyAlignment="1">
      <alignment horizontal="centerContinuous"/>
    </xf>
    <xf numFmtId="0" fontId="8" fillId="0" borderId="0" xfId="0" applyFont="1"/>
    <xf numFmtId="8" fontId="9" fillId="3" borderId="4" xfId="0" applyNumberFormat="1" applyFont="1" applyFill="1" applyBorder="1" applyAlignment="1">
      <alignment horizontal="centerContinuous"/>
    </xf>
    <xf numFmtId="0" fontId="1" fillId="0" borderId="2" xfId="1" applyFill="1" applyBorder="1"/>
    <xf numFmtId="0" fontId="9" fillId="4" borderId="0" xfId="0" applyFont="1" applyFill="1" applyAlignment="1">
      <alignment horizontal="centerContinuous" vertical="center"/>
    </xf>
    <xf numFmtId="0" fontId="10" fillId="4" borderId="0" xfId="0" applyFont="1" applyFill="1"/>
    <xf numFmtId="0" fontId="11" fillId="0" borderId="2" xfId="1" applyFont="1" applyFill="1" applyBorder="1"/>
    <xf numFmtId="0" fontId="4" fillId="3" borderId="0" xfId="0" applyFont="1" applyFill="1" applyAlignment="1" applyProtection="1">
      <alignment horizontal="left"/>
      <protection locked="0"/>
    </xf>
    <xf numFmtId="164" fontId="4" fillId="3" borderId="0" xfId="0" applyNumberFormat="1" applyFont="1" applyFill="1" applyAlignment="1" applyProtection="1">
      <alignment horizontal="left"/>
      <protection locked="0"/>
    </xf>
    <xf numFmtId="165" fontId="4" fillId="3" borderId="0" xfId="0" applyNumberFormat="1" applyFont="1" applyFill="1" applyAlignment="1" applyProtection="1">
      <alignment horizontal="left"/>
      <protection locked="0"/>
    </xf>
    <xf numFmtId="166" fontId="4" fillId="3" borderId="0" xfId="0" applyNumberFormat="1" applyFont="1" applyFill="1" applyAlignment="1" applyProtection="1">
      <alignment horizontal="left"/>
      <protection locked="0"/>
    </xf>
    <xf numFmtId="0" fontId="5" fillId="3" borderId="0" xfId="2" applyFill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8" fontId="4" fillId="3" borderId="6" xfId="0" applyNumberFormat="1" applyFont="1" applyFill="1" applyBorder="1" applyAlignment="1" applyProtection="1">
      <alignment horizontal="left"/>
      <protection locked="0"/>
    </xf>
    <xf numFmtId="0" fontId="4" fillId="3" borderId="8" xfId="0" applyFont="1" applyFill="1" applyBorder="1" applyAlignment="1" applyProtection="1">
      <alignment horizontal="left"/>
      <protection locked="0"/>
    </xf>
    <xf numFmtId="173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8" fontId="12" fillId="0" borderId="0" xfId="0" applyNumberFormat="1" applyFont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4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2" formatCode="&quot;R$&quot;\ #,##0.00;[Red]\-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E269"/>
      <color rgb="FFFFCC00"/>
      <color rgb="FF0E1317"/>
      <color rgb="FF3649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Titular!C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831850</xdr:colOff>
      <xdr:row>3</xdr:row>
      <xdr:rowOff>38100</xdr:rowOff>
    </xdr:from>
    <xdr:to>
      <xdr:col>0</xdr:col>
      <xdr:colOff>1790700</xdr:colOff>
      <xdr:row>8</xdr:row>
      <xdr:rowOff>19050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39EEC73-6AE4-4293-9BF5-90A8BDFC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" y="660400"/>
          <a:ext cx="958850" cy="95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0</xdr:row>
      <xdr:rowOff>69850</xdr:rowOff>
    </xdr:from>
    <xdr:to>
      <xdr:col>0</xdr:col>
      <xdr:colOff>2374900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65FFFED-AB8F-487B-81AE-FB0B53AFBB42}"/>
            </a:ext>
          </a:extLst>
        </xdr:cNvPr>
        <xdr:cNvSpPr/>
      </xdr:nvSpPr>
      <xdr:spPr>
        <a:xfrm>
          <a:off x="247650" y="69850"/>
          <a:ext cx="21272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6000">
                    <a:schemeClr val="accent5">
                      <a:lumMod val="75000"/>
                    </a:schemeClr>
                  </a:gs>
                  <a:gs pos="12000">
                    <a:schemeClr val="bg1">
                      <a:lumMod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3200" b="1" baseline="0">
              <a:latin typeface="Arial Black" panose="020B0A04020102020204" pitchFamily="34" charset="0"/>
            </a:rPr>
            <a:t> </a:t>
          </a:r>
          <a:r>
            <a:rPr lang="pt-BR" sz="3200" b="1" baseline="0">
              <a:gradFill>
                <a:gsLst>
                  <a:gs pos="12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3200" b="1">
            <a:gradFill>
              <a:gsLst>
                <a:gs pos="12000">
                  <a:schemeClr val="accent5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22225</xdr:colOff>
      <xdr:row>8</xdr:row>
      <xdr:rowOff>57150</xdr:rowOff>
    </xdr:from>
    <xdr:to>
      <xdr:col>0</xdr:col>
      <xdr:colOff>2549525</xdr:colOff>
      <xdr:row>10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1A610E-1617-4796-8BEC-5795D05799F7}"/>
            </a:ext>
          </a:extLst>
        </xdr:cNvPr>
        <xdr:cNvSpPr/>
      </xdr:nvSpPr>
      <xdr:spPr>
        <a:xfrm>
          <a:off x="22225" y="1657350"/>
          <a:ext cx="2527300" cy="501650"/>
        </a:xfrm>
        <a:prstGeom prst="roundRect">
          <a:avLst>
            <a:gd name="adj" fmla="val 50000"/>
          </a:avLst>
        </a:prstGeom>
        <a:gradFill>
          <a:gsLst>
            <a:gs pos="12000">
              <a:schemeClr val="accent5">
                <a:lumMod val="7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22225</xdr:colOff>
      <xdr:row>13</xdr:row>
      <xdr:rowOff>184150</xdr:rowOff>
    </xdr:from>
    <xdr:to>
      <xdr:col>0</xdr:col>
      <xdr:colOff>2549525</xdr:colOff>
      <xdr:row>16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347B2F-5B48-44DF-AD99-153435DF4619}"/>
            </a:ext>
          </a:extLst>
        </xdr:cNvPr>
        <xdr:cNvSpPr/>
      </xdr:nvSpPr>
      <xdr:spPr>
        <a:xfrm>
          <a:off x="22225" y="283210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22225</xdr:colOff>
      <xdr:row>11</xdr:row>
      <xdr:rowOff>15875</xdr:rowOff>
    </xdr:from>
    <xdr:to>
      <xdr:col>0</xdr:col>
      <xdr:colOff>2549525</xdr:colOff>
      <xdr:row>13</xdr:row>
      <xdr:rowOff>98425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B50A21-627D-403F-A0B0-B43C49174A76}"/>
            </a:ext>
          </a:extLst>
        </xdr:cNvPr>
        <xdr:cNvSpPr/>
      </xdr:nvSpPr>
      <xdr:spPr>
        <a:xfrm>
          <a:off x="22225" y="2244725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53975</xdr:colOff>
      <xdr:row>21</xdr:row>
      <xdr:rowOff>82550</xdr:rowOff>
    </xdr:from>
    <xdr:to>
      <xdr:col>0</xdr:col>
      <xdr:colOff>2581275</xdr:colOff>
      <xdr:row>24</xdr:row>
      <xdr:rowOff>31750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5222C0C-D5A0-4E17-A021-747F56CA4CE2}"/>
            </a:ext>
          </a:extLst>
        </xdr:cNvPr>
        <xdr:cNvSpPr/>
      </xdr:nvSpPr>
      <xdr:spPr>
        <a:xfrm>
          <a:off x="53975" y="435610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System by Flavio Leite</a:t>
          </a:r>
        </a:p>
      </xdr:txBody>
    </xdr:sp>
    <xdr:clientData/>
  </xdr:twoCellAnchor>
  <xdr:twoCellAnchor editAs="absolute">
    <xdr:from>
      <xdr:col>2</xdr:col>
      <xdr:colOff>2832100</xdr:colOff>
      <xdr:row>20</xdr:row>
      <xdr:rowOff>0</xdr:rowOff>
    </xdr:from>
    <xdr:to>
      <xdr:col>4</xdr:col>
      <xdr:colOff>12700</xdr:colOff>
      <xdr:row>21</xdr:row>
      <xdr:rowOff>76200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6AE8AF-B6BA-EDFD-16CB-F9DAEFF1EC88}"/>
            </a:ext>
          </a:extLst>
        </xdr:cNvPr>
        <xdr:cNvSpPr/>
      </xdr:nvSpPr>
      <xdr:spPr>
        <a:xfrm>
          <a:off x="6026150" y="4089400"/>
          <a:ext cx="2355850" cy="527050"/>
        </a:xfrm>
        <a:prstGeom prst="roundRect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accent5"/>
              </a:solidFill>
            </a:rPr>
            <a:t>PRÓXIMO</a:t>
          </a:r>
          <a:r>
            <a:rPr lang="pt-BR" sz="1100" b="1" baseline="0">
              <a:solidFill>
                <a:schemeClr val="accent5"/>
              </a:solidFill>
            </a:rPr>
            <a:t> →</a:t>
          </a:r>
          <a:endParaRPr lang="pt-BR" sz="1100" b="1">
            <a:solidFill>
              <a:schemeClr val="accent5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831850</xdr:colOff>
      <xdr:row>3</xdr:row>
      <xdr:rowOff>38100</xdr:rowOff>
    </xdr:from>
    <xdr:to>
      <xdr:col>0</xdr:col>
      <xdr:colOff>1790700</xdr:colOff>
      <xdr:row>8</xdr:row>
      <xdr:rowOff>63500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4B63A66-37D9-426C-940F-C1FE897E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" y="660400"/>
          <a:ext cx="958850" cy="95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0</xdr:row>
      <xdr:rowOff>69850</xdr:rowOff>
    </xdr:from>
    <xdr:to>
      <xdr:col>0</xdr:col>
      <xdr:colOff>2374900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4B67BBF-6CD9-4161-A053-8749EE3BBFB5}"/>
            </a:ext>
          </a:extLst>
        </xdr:cNvPr>
        <xdr:cNvSpPr/>
      </xdr:nvSpPr>
      <xdr:spPr>
        <a:xfrm>
          <a:off x="247650" y="69850"/>
          <a:ext cx="21272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6000">
                    <a:schemeClr val="accent5">
                      <a:lumMod val="75000"/>
                    </a:schemeClr>
                  </a:gs>
                  <a:gs pos="12000">
                    <a:schemeClr val="bg1">
                      <a:lumMod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3200" b="1" baseline="0">
              <a:latin typeface="Arial Black" panose="020B0A04020102020204" pitchFamily="34" charset="0"/>
            </a:rPr>
            <a:t> </a:t>
          </a:r>
          <a:r>
            <a:rPr lang="pt-BR" sz="3200" b="1" baseline="0">
              <a:gradFill>
                <a:gsLst>
                  <a:gs pos="12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3200" b="1">
            <a:gradFill>
              <a:gsLst>
                <a:gs pos="12000">
                  <a:schemeClr val="accent5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22225</xdr:colOff>
      <xdr:row>8</xdr:row>
      <xdr:rowOff>101600</xdr:rowOff>
    </xdr:from>
    <xdr:to>
      <xdr:col>0</xdr:col>
      <xdr:colOff>2549525</xdr:colOff>
      <xdr:row>10</xdr:row>
      <xdr:rowOff>203200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8EBBE-E0E5-473B-97A2-A823C742DF72}"/>
            </a:ext>
          </a:extLst>
        </xdr:cNvPr>
        <xdr:cNvSpPr/>
      </xdr:nvSpPr>
      <xdr:spPr>
        <a:xfrm>
          <a:off x="22225" y="165735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22225</xdr:colOff>
      <xdr:row>14</xdr:row>
      <xdr:rowOff>76200</xdr:rowOff>
    </xdr:from>
    <xdr:to>
      <xdr:col>0</xdr:col>
      <xdr:colOff>2549525</xdr:colOff>
      <xdr:row>16</xdr:row>
      <xdr:rowOff>158750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450D57-66E3-4796-9153-B9661EEBD027}"/>
            </a:ext>
          </a:extLst>
        </xdr:cNvPr>
        <xdr:cNvSpPr/>
      </xdr:nvSpPr>
      <xdr:spPr>
        <a:xfrm>
          <a:off x="22225" y="283210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22225</xdr:colOff>
      <xdr:row>11</xdr:row>
      <xdr:rowOff>79375</xdr:rowOff>
    </xdr:from>
    <xdr:to>
      <xdr:col>0</xdr:col>
      <xdr:colOff>2549525</xdr:colOff>
      <xdr:row>13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4741B6-7D30-44D0-8980-48D291D2F88C}"/>
            </a:ext>
          </a:extLst>
        </xdr:cNvPr>
        <xdr:cNvSpPr/>
      </xdr:nvSpPr>
      <xdr:spPr>
        <a:xfrm>
          <a:off x="22225" y="2244725"/>
          <a:ext cx="2527300" cy="501650"/>
        </a:xfrm>
        <a:prstGeom prst="roundRect">
          <a:avLst>
            <a:gd name="adj" fmla="val 50000"/>
          </a:avLst>
        </a:prstGeom>
        <a:gradFill>
          <a:gsLst>
            <a:gs pos="12000">
              <a:schemeClr val="accent5">
                <a:lumMod val="7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53975</xdr:colOff>
      <xdr:row>21</xdr:row>
      <xdr:rowOff>171450</xdr:rowOff>
    </xdr:from>
    <xdr:to>
      <xdr:col>0</xdr:col>
      <xdr:colOff>2581275</xdr:colOff>
      <xdr:row>24</xdr:row>
      <xdr:rowOff>88900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65F1F98-E0DE-4979-A847-72C9A5619B06}"/>
            </a:ext>
          </a:extLst>
        </xdr:cNvPr>
        <xdr:cNvSpPr/>
      </xdr:nvSpPr>
      <xdr:spPr>
        <a:xfrm>
          <a:off x="53975" y="435610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System by Flavio Leite</a:t>
          </a:r>
        </a:p>
      </xdr:txBody>
    </xdr:sp>
    <xdr:clientData/>
  </xdr:twoCellAnchor>
  <xdr:twoCellAnchor editAs="absolute">
    <xdr:from>
      <xdr:col>2</xdr:col>
      <xdr:colOff>565150</xdr:colOff>
      <xdr:row>22</xdr:row>
      <xdr:rowOff>171450</xdr:rowOff>
    </xdr:from>
    <xdr:to>
      <xdr:col>2</xdr:col>
      <xdr:colOff>2673350</xdr:colOff>
      <xdr:row>24</xdr:row>
      <xdr:rowOff>63500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E8F4B4-5E49-4238-8DE0-0EA702BB2B29}"/>
            </a:ext>
          </a:extLst>
        </xdr:cNvPr>
        <xdr:cNvSpPr/>
      </xdr:nvSpPr>
      <xdr:spPr>
        <a:xfrm>
          <a:off x="3759200" y="4572000"/>
          <a:ext cx="2108200" cy="260350"/>
        </a:xfrm>
        <a:prstGeom prst="roundRect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accent5"/>
              </a:solidFill>
            </a:rPr>
            <a:t>← ANTERIOR</a:t>
          </a:r>
        </a:p>
      </xdr:txBody>
    </xdr:sp>
    <xdr:clientData/>
  </xdr:twoCellAnchor>
  <xdr:twoCellAnchor editAs="absolute">
    <xdr:from>
      <xdr:col>3</xdr:col>
      <xdr:colOff>0</xdr:colOff>
      <xdr:row>22</xdr:row>
      <xdr:rowOff>165100</xdr:rowOff>
    </xdr:from>
    <xdr:to>
      <xdr:col>3</xdr:col>
      <xdr:colOff>2108200</xdr:colOff>
      <xdr:row>24</xdr:row>
      <xdr:rowOff>57150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BA710-BABF-4C0C-93F3-5E9437DBD067}"/>
            </a:ext>
          </a:extLst>
        </xdr:cNvPr>
        <xdr:cNvSpPr/>
      </xdr:nvSpPr>
      <xdr:spPr>
        <a:xfrm>
          <a:off x="5886450" y="4565650"/>
          <a:ext cx="2108200" cy="260350"/>
        </a:xfrm>
        <a:prstGeom prst="roundRect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accent5"/>
              </a:solidFill>
            </a:rPr>
            <a:t>PRÓXIMO</a:t>
          </a:r>
          <a:r>
            <a:rPr lang="pt-BR" sz="1100" b="1" baseline="0">
              <a:solidFill>
                <a:schemeClr val="accent5"/>
              </a:solidFill>
            </a:rPr>
            <a:t> →</a:t>
          </a:r>
          <a:endParaRPr lang="pt-BR" sz="1100" b="1">
            <a:solidFill>
              <a:schemeClr val="accent5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831850</xdr:colOff>
      <xdr:row>3</xdr:row>
      <xdr:rowOff>38100</xdr:rowOff>
    </xdr:from>
    <xdr:to>
      <xdr:col>0</xdr:col>
      <xdr:colOff>1790700</xdr:colOff>
      <xdr:row>8</xdr:row>
      <xdr:rowOff>69850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8B8B53B-1C29-4651-B4E7-B4F89106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" y="660400"/>
          <a:ext cx="958850" cy="95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247650</xdr:colOff>
      <xdr:row>0</xdr:row>
      <xdr:rowOff>69850</xdr:rowOff>
    </xdr:from>
    <xdr:to>
      <xdr:col>0</xdr:col>
      <xdr:colOff>2374900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4A25802-2EF2-4542-936F-9F3208249C0C}"/>
            </a:ext>
          </a:extLst>
        </xdr:cNvPr>
        <xdr:cNvSpPr/>
      </xdr:nvSpPr>
      <xdr:spPr>
        <a:xfrm>
          <a:off x="247650" y="69850"/>
          <a:ext cx="21272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gradFill>
                <a:gsLst>
                  <a:gs pos="36000">
                    <a:schemeClr val="accent5">
                      <a:lumMod val="75000"/>
                    </a:schemeClr>
                  </a:gs>
                  <a:gs pos="12000">
                    <a:schemeClr val="bg1">
                      <a:lumMod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3200" b="1" baseline="0">
              <a:latin typeface="Arial Black" panose="020B0A04020102020204" pitchFamily="34" charset="0"/>
            </a:rPr>
            <a:t> </a:t>
          </a:r>
          <a:r>
            <a:rPr lang="pt-BR" sz="3200" b="1" baseline="0">
              <a:gradFill>
                <a:gsLst>
                  <a:gs pos="12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  <a:endParaRPr lang="pt-BR" sz="3200" b="1">
            <a:gradFill>
              <a:gsLst>
                <a:gs pos="12000">
                  <a:schemeClr val="accent5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22225</xdr:colOff>
      <xdr:row>8</xdr:row>
      <xdr:rowOff>107950</xdr:rowOff>
    </xdr:from>
    <xdr:to>
      <xdr:col>0</xdr:col>
      <xdr:colOff>2549525</xdr:colOff>
      <xdr:row>11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AB18B2-94B9-404A-96F6-B28F188384F5}"/>
            </a:ext>
          </a:extLst>
        </xdr:cNvPr>
        <xdr:cNvSpPr/>
      </xdr:nvSpPr>
      <xdr:spPr>
        <a:xfrm>
          <a:off x="22225" y="165735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22225</xdr:colOff>
      <xdr:row>14</xdr:row>
      <xdr:rowOff>177800</xdr:rowOff>
    </xdr:from>
    <xdr:to>
      <xdr:col>0</xdr:col>
      <xdr:colOff>2549525</xdr:colOff>
      <xdr:row>17</xdr:row>
      <xdr:rowOff>127000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07BA7B-F27E-4CDA-BB04-2CE857769D91}"/>
            </a:ext>
          </a:extLst>
        </xdr:cNvPr>
        <xdr:cNvSpPr/>
      </xdr:nvSpPr>
      <xdr:spPr>
        <a:xfrm>
          <a:off x="22225" y="2832100"/>
          <a:ext cx="2527300" cy="501650"/>
        </a:xfrm>
        <a:prstGeom prst="roundRect">
          <a:avLst>
            <a:gd name="adj" fmla="val 50000"/>
          </a:avLst>
        </a:prstGeom>
        <a:gradFill>
          <a:gsLst>
            <a:gs pos="12000">
              <a:schemeClr val="accent5">
                <a:lumMod val="7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22225</xdr:colOff>
      <xdr:row>11</xdr:row>
      <xdr:rowOff>142875</xdr:rowOff>
    </xdr:from>
    <xdr:to>
      <xdr:col>0</xdr:col>
      <xdr:colOff>2549525</xdr:colOff>
      <xdr:row>14</xdr:row>
      <xdr:rowOff>92075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3083C5-B322-49BA-A783-C58EE35A97B1}"/>
            </a:ext>
          </a:extLst>
        </xdr:cNvPr>
        <xdr:cNvSpPr/>
      </xdr:nvSpPr>
      <xdr:spPr>
        <a:xfrm>
          <a:off x="22225" y="2244725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53975</xdr:colOff>
      <xdr:row>23</xdr:row>
      <xdr:rowOff>44450</xdr:rowOff>
    </xdr:from>
    <xdr:to>
      <xdr:col>0</xdr:col>
      <xdr:colOff>2581275</xdr:colOff>
      <xdr:row>25</xdr:row>
      <xdr:rowOff>177800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4644780-871D-4CAD-A311-08B6DB741EC1}"/>
            </a:ext>
          </a:extLst>
        </xdr:cNvPr>
        <xdr:cNvSpPr/>
      </xdr:nvSpPr>
      <xdr:spPr>
        <a:xfrm>
          <a:off x="53975" y="4356100"/>
          <a:ext cx="2527300" cy="5016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System by Flavio Leite</a:t>
          </a:r>
        </a:p>
      </xdr:txBody>
    </xdr:sp>
    <xdr:clientData/>
  </xdr:twoCellAnchor>
  <xdr:twoCellAnchor editAs="absolute">
    <xdr:from>
      <xdr:col>5</xdr:col>
      <xdr:colOff>273050</xdr:colOff>
      <xdr:row>2</xdr:row>
      <xdr:rowOff>234950</xdr:rowOff>
    </xdr:from>
    <xdr:to>
      <xdr:col>8</xdr:col>
      <xdr:colOff>552450</xdr:colOff>
      <xdr:row>4</xdr:row>
      <xdr:rowOff>50800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C23A0A-77E9-4C82-AAFF-D18E38194CC4}"/>
            </a:ext>
          </a:extLst>
        </xdr:cNvPr>
        <xdr:cNvSpPr/>
      </xdr:nvSpPr>
      <xdr:spPr>
        <a:xfrm>
          <a:off x="6508750" y="603250"/>
          <a:ext cx="2108200" cy="260350"/>
        </a:xfrm>
        <a:prstGeom prst="roundRect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accent5"/>
              </a:solidFill>
            </a:rPr>
            <a:t>←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BA946-503A-4898-8280-A6F0F9BD1CFF}" name="Tabela1" displayName="Tabela1" ref="C7:E23" totalsRowShown="0" dataDxfId="0">
  <autoFilter ref="C7:E23" xr:uid="{DAEBA946-503A-4898-8280-A6F0F9BD1CFF}"/>
  <tableColumns count="3">
    <tableColumn id="1" xr3:uid="{157A8710-A9C3-4F38-8C78-426A95595334}" name="DATA" dataDxfId="3"/>
    <tableColumn id="2" xr3:uid="{39C7D6E4-34F8-4D86-BBAC-D9295B478C3D}" name="CATEGORIA" dataDxfId="2"/>
    <tableColumn id="3" xr3:uid="{BA17E9C7-64D5-4765-97C5-A74E8D67A87B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no@prehistori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A400-5A61-4E36-9687-23449940C33D}">
  <dimension ref="A3:D19"/>
  <sheetViews>
    <sheetView showGridLines="0" showRowColHeaders="0" tabSelected="1" workbookViewId="0">
      <selection activeCell="D15" sqref="D15"/>
    </sheetView>
  </sheetViews>
  <sheetFormatPr defaultRowHeight="14.5" x14ac:dyDescent="0.35"/>
  <cols>
    <col min="1" max="1" width="37" style="1" customWidth="1"/>
    <col min="3" max="3" width="41.08984375" bestFit="1" customWidth="1"/>
    <col min="4" max="4" width="29.453125" customWidth="1"/>
  </cols>
  <sheetData>
    <row r="3" spans="3:4" ht="20" thickBot="1" x14ac:dyDescent="0.5">
      <c r="C3" s="6" t="s">
        <v>13</v>
      </c>
      <c r="D3" s="4"/>
    </row>
    <row r="4" spans="3:4" ht="15" thickTop="1" x14ac:dyDescent="0.35">
      <c r="C4" s="3" t="s">
        <v>14</v>
      </c>
      <c r="D4" s="2"/>
    </row>
    <row r="7" spans="3:4" ht="16.5" x14ac:dyDescent="0.45">
      <c r="C7" s="5" t="s">
        <v>0</v>
      </c>
      <c r="D7" s="22" t="s">
        <v>17</v>
      </c>
    </row>
    <row r="8" spans="3:4" ht="16.5" x14ac:dyDescent="0.45">
      <c r="C8" s="5" t="s">
        <v>1</v>
      </c>
      <c r="D8" s="23">
        <v>12398777654</v>
      </c>
    </row>
    <row r="9" spans="3:4" ht="16.5" x14ac:dyDescent="0.45">
      <c r="C9" s="5" t="s">
        <v>12</v>
      </c>
      <c r="D9" s="22">
        <v>7649987653</v>
      </c>
    </row>
    <row r="10" spans="3:4" ht="16.5" x14ac:dyDescent="0.45">
      <c r="C10" s="5" t="s">
        <v>2</v>
      </c>
      <c r="D10" s="22" t="s">
        <v>20</v>
      </c>
    </row>
    <row r="11" spans="3:4" ht="16.5" x14ac:dyDescent="0.45">
      <c r="C11" s="5" t="s">
        <v>3</v>
      </c>
      <c r="D11" s="22" t="s">
        <v>18</v>
      </c>
    </row>
    <row r="12" spans="3:4" ht="16.5" x14ac:dyDescent="0.45">
      <c r="C12" s="5" t="s">
        <v>4</v>
      </c>
      <c r="D12" s="22" t="s">
        <v>18</v>
      </c>
    </row>
    <row r="13" spans="3:4" ht="16.5" x14ac:dyDescent="0.45">
      <c r="C13" s="5" t="s">
        <v>5</v>
      </c>
      <c r="D13" s="24">
        <v>33908203</v>
      </c>
    </row>
    <row r="14" spans="3:4" ht="16.5" x14ac:dyDescent="0.45">
      <c r="C14" s="5" t="s">
        <v>6</v>
      </c>
      <c r="D14" s="25">
        <v>4288888954</v>
      </c>
    </row>
    <row r="15" spans="3:4" ht="16.5" x14ac:dyDescent="0.45">
      <c r="C15" s="5" t="s">
        <v>7</v>
      </c>
      <c r="D15" s="25">
        <v>4288888954</v>
      </c>
    </row>
    <row r="16" spans="3:4" ht="16.5" x14ac:dyDescent="0.45">
      <c r="C16" s="5" t="s">
        <v>8</v>
      </c>
      <c r="D16" s="26" t="s">
        <v>19</v>
      </c>
    </row>
    <row r="17" spans="3:4" ht="16.5" x14ac:dyDescent="0.45">
      <c r="C17" s="5" t="s">
        <v>9</v>
      </c>
      <c r="D17" s="22" t="s">
        <v>15</v>
      </c>
    </row>
    <row r="18" spans="3:4" ht="16.5" x14ac:dyDescent="0.45">
      <c r="C18" s="5" t="s">
        <v>10</v>
      </c>
      <c r="D18" s="22" t="s">
        <v>16</v>
      </c>
    </row>
    <row r="19" spans="3:4" ht="16.5" x14ac:dyDescent="0.45">
      <c r="C19" s="5" t="s">
        <v>11</v>
      </c>
      <c r="D19" s="22" t="s">
        <v>16</v>
      </c>
    </row>
  </sheetData>
  <sheetProtection sheet="1" objects="1" scenarios="1" selectLockedCells="1"/>
  <dataValidations count="1">
    <dataValidation type="list" allowBlank="1" showInputMessage="1" showErrorMessage="1" sqref="D17:D19" xr:uid="{23BA145F-CDD3-4A47-B68F-58F76B63814E}">
      <formula1>"SIM,NÃO"</formula1>
    </dataValidation>
  </dataValidations>
  <hyperlinks>
    <hyperlink ref="D16" r:id="rId1" xr:uid="{70C15494-5549-480C-8C92-D3C8BA575DB6}"/>
  </hyperlink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F7F4-BD43-459B-94B3-410155666BD7}">
  <dimension ref="A3:D22"/>
  <sheetViews>
    <sheetView showGridLines="0" showRowColHeaders="0" workbookViewId="0">
      <selection activeCell="D20" sqref="D20"/>
    </sheetView>
  </sheetViews>
  <sheetFormatPr defaultRowHeight="14.5" x14ac:dyDescent="0.35"/>
  <cols>
    <col min="1" max="1" width="37" style="1" customWidth="1"/>
    <col min="3" max="3" width="38.54296875" bestFit="1" customWidth="1"/>
    <col min="4" max="4" width="34.7265625" customWidth="1"/>
  </cols>
  <sheetData>
    <row r="3" spans="3:4" ht="20" thickBot="1" x14ac:dyDescent="0.5">
      <c r="C3" s="7" t="s">
        <v>70</v>
      </c>
      <c r="D3" s="7"/>
    </row>
    <row r="4" spans="3:4" ht="15" thickTop="1" x14ac:dyDescent="0.35">
      <c r="C4" s="3" t="s">
        <v>21</v>
      </c>
      <c r="D4" s="2"/>
    </row>
    <row r="6" spans="3:4" ht="15" thickBot="1" x14ac:dyDescent="0.4">
      <c r="C6" s="16" t="s">
        <v>69</v>
      </c>
    </row>
    <row r="7" spans="3:4" x14ac:dyDescent="0.35">
      <c r="C7" s="17">
        <f>D11+D16+D21</f>
        <v>690000</v>
      </c>
      <c r="D7" s="15"/>
    </row>
    <row r="9" spans="3:4" ht="15" thickBot="1" x14ac:dyDescent="0.4">
      <c r="C9" s="16" t="s">
        <v>64</v>
      </c>
    </row>
    <row r="10" spans="3:4" ht="16.5" x14ac:dyDescent="0.45">
      <c r="C10" s="12" t="s">
        <v>22</v>
      </c>
      <c r="D10" s="27" t="s">
        <v>63</v>
      </c>
    </row>
    <row r="11" spans="3:4" ht="16.5" x14ac:dyDescent="0.45">
      <c r="C11" s="13" t="s">
        <v>23</v>
      </c>
      <c r="D11" s="28">
        <v>500000</v>
      </c>
    </row>
    <row r="12" spans="3:4" ht="17" thickBot="1" x14ac:dyDescent="0.5">
      <c r="C12" s="14" t="s">
        <v>24</v>
      </c>
      <c r="D12" s="29" t="s">
        <v>17</v>
      </c>
    </row>
    <row r="14" spans="3:4" ht="15" thickBot="1" x14ac:dyDescent="0.4">
      <c r="C14" s="16" t="s">
        <v>65</v>
      </c>
    </row>
    <row r="15" spans="3:4" ht="16.5" x14ac:dyDescent="0.45">
      <c r="C15" s="12" t="s">
        <v>22</v>
      </c>
      <c r="D15" s="27" t="s">
        <v>66</v>
      </c>
    </row>
    <row r="16" spans="3:4" ht="16.5" x14ac:dyDescent="0.45">
      <c r="C16" s="13" t="s">
        <v>23</v>
      </c>
      <c r="D16" s="28">
        <v>130000</v>
      </c>
    </row>
    <row r="17" spans="3:4" ht="17" thickBot="1" x14ac:dyDescent="0.5">
      <c r="C17" s="14" t="s">
        <v>24</v>
      </c>
      <c r="D17" s="29" t="s">
        <v>17</v>
      </c>
    </row>
    <row r="19" spans="3:4" ht="15" thickBot="1" x14ac:dyDescent="0.4">
      <c r="C19" s="16" t="s">
        <v>67</v>
      </c>
    </row>
    <row r="20" spans="3:4" ht="16.5" x14ac:dyDescent="0.45">
      <c r="C20" s="12" t="s">
        <v>22</v>
      </c>
      <c r="D20" s="27" t="s">
        <v>68</v>
      </c>
    </row>
    <row r="21" spans="3:4" ht="16.5" x14ac:dyDescent="0.45">
      <c r="C21" s="13" t="s">
        <v>23</v>
      </c>
      <c r="D21" s="28">
        <v>60000</v>
      </c>
    </row>
    <row r="22" spans="3:4" ht="17" thickBot="1" x14ac:dyDescent="0.5">
      <c r="C22" s="14" t="s">
        <v>24</v>
      </c>
      <c r="D22" s="29" t="s">
        <v>17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DBE626-C096-4855-B9DB-E8C44955CCC7}">
          <x14:formula1>
            <xm:f>Tabelas!$C$2:$C$36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BF7C-5C0B-456C-BEDC-E3D82B5389C0}">
  <dimension ref="A3:E23"/>
  <sheetViews>
    <sheetView showGridLines="0" showRowColHeaders="0" workbookViewId="0">
      <selection activeCell="E11" sqref="E11"/>
    </sheetView>
  </sheetViews>
  <sheetFormatPr defaultRowHeight="14.5" x14ac:dyDescent="0.35"/>
  <cols>
    <col min="1" max="1" width="37" style="1" customWidth="1"/>
    <col min="3" max="3" width="13.7265625" customWidth="1"/>
    <col min="4" max="4" width="14.08984375" customWidth="1"/>
    <col min="5" max="5" width="15.7265625" customWidth="1"/>
  </cols>
  <sheetData>
    <row r="3" spans="3:5" ht="20" thickBot="1" x14ac:dyDescent="0.5">
      <c r="C3" s="21" t="s">
        <v>71</v>
      </c>
      <c r="D3" s="18"/>
      <c r="E3" s="18"/>
    </row>
    <row r="4" spans="3:5" ht="15" thickTop="1" x14ac:dyDescent="0.35">
      <c r="C4" s="20" t="s">
        <v>72</v>
      </c>
      <c r="D4" s="20"/>
      <c r="E4" s="20"/>
    </row>
    <row r="6" spans="3:5" x14ac:dyDescent="0.35">
      <c r="C6" s="19" t="s">
        <v>76</v>
      </c>
      <c r="D6" s="19"/>
      <c r="E6" s="19"/>
    </row>
    <row r="7" spans="3:5" x14ac:dyDescent="0.35">
      <c r="C7" t="s">
        <v>73</v>
      </c>
      <c r="D7" t="s">
        <v>74</v>
      </c>
      <c r="E7" t="s">
        <v>75</v>
      </c>
    </row>
    <row r="8" spans="3:5" x14ac:dyDescent="0.35">
      <c r="C8" s="30">
        <v>46013</v>
      </c>
      <c r="D8" s="31" t="s">
        <v>77</v>
      </c>
      <c r="E8" s="32">
        <v>4500</v>
      </c>
    </row>
    <row r="9" spans="3:5" x14ac:dyDescent="0.35">
      <c r="C9" s="33"/>
      <c r="D9" s="31"/>
      <c r="E9" s="32"/>
    </row>
    <row r="10" spans="3:5" x14ac:dyDescent="0.35">
      <c r="C10" s="33"/>
      <c r="D10" s="31"/>
      <c r="E10" s="32"/>
    </row>
    <row r="11" spans="3:5" x14ac:dyDescent="0.35">
      <c r="C11" s="33"/>
      <c r="D11" s="31"/>
      <c r="E11" s="32"/>
    </row>
    <row r="12" spans="3:5" x14ac:dyDescent="0.35">
      <c r="C12" s="33"/>
      <c r="D12" s="31"/>
      <c r="E12" s="32"/>
    </row>
    <row r="13" spans="3:5" x14ac:dyDescent="0.35">
      <c r="C13" s="33"/>
      <c r="D13" s="31"/>
      <c r="E13" s="32"/>
    </row>
    <row r="14" spans="3:5" x14ac:dyDescent="0.35">
      <c r="C14" s="33"/>
      <c r="D14" s="31"/>
      <c r="E14" s="32"/>
    </row>
    <row r="15" spans="3:5" x14ac:dyDescent="0.35">
      <c r="C15" s="33"/>
      <c r="D15" s="31"/>
      <c r="E15" s="32"/>
    </row>
    <row r="16" spans="3:5" x14ac:dyDescent="0.35">
      <c r="C16" s="33"/>
      <c r="D16" s="31"/>
      <c r="E16" s="32"/>
    </row>
    <row r="17" spans="3:5" x14ac:dyDescent="0.35">
      <c r="C17" s="33"/>
      <c r="D17" s="31"/>
      <c r="E17" s="32"/>
    </row>
    <row r="18" spans="3:5" x14ac:dyDescent="0.35">
      <c r="C18" s="33"/>
      <c r="D18" s="31"/>
      <c r="E18" s="32"/>
    </row>
    <row r="19" spans="3:5" x14ac:dyDescent="0.35">
      <c r="C19" s="33"/>
      <c r="D19" s="31"/>
      <c r="E19" s="32"/>
    </row>
    <row r="20" spans="3:5" x14ac:dyDescent="0.35">
      <c r="C20" s="33"/>
      <c r="D20" s="31"/>
      <c r="E20" s="32"/>
    </row>
    <row r="21" spans="3:5" x14ac:dyDescent="0.35">
      <c r="C21" s="33"/>
      <c r="D21" s="31"/>
      <c r="E21" s="32"/>
    </row>
    <row r="22" spans="3:5" x14ac:dyDescent="0.35">
      <c r="C22" s="33"/>
      <c r="D22" s="31"/>
      <c r="E22" s="32"/>
    </row>
    <row r="23" spans="3:5" x14ac:dyDescent="0.35">
      <c r="C23" s="33"/>
      <c r="D23" s="31"/>
      <c r="E23" s="32"/>
    </row>
  </sheetData>
  <sheetProtection sheet="1" objects="1" scenarios="1" selectLockedCells="1"/>
  <dataValidations count="1">
    <dataValidation type="list" allowBlank="1" showInputMessage="1" showErrorMessage="1" sqref="D8:D23" xr:uid="{3D199E23-3E51-4D15-BEE6-A312ECEAA2EE}">
      <formula1>"Holerite,CNPJ,Free 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EF45-1A8F-4AD4-91C9-3C286ECF459A}">
  <dimension ref="A1:C36"/>
  <sheetViews>
    <sheetView workbookViewId="0">
      <selection activeCell="E14" sqref="E14"/>
    </sheetView>
  </sheetViews>
  <sheetFormatPr defaultRowHeight="14.5" x14ac:dyDescent="0.35"/>
  <cols>
    <col min="1" max="1" width="17.26953125" bestFit="1" customWidth="1"/>
    <col min="2" max="2" width="49.08984375" bestFit="1" customWidth="1"/>
    <col min="3" max="3" width="53.54296875" bestFit="1" customWidth="1"/>
  </cols>
  <sheetData>
    <row r="1" spans="1:3" x14ac:dyDescent="0.35">
      <c r="A1" s="8" t="s">
        <v>25</v>
      </c>
      <c r="B1" s="9" t="s">
        <v>26</v>
      </c>
      <c r="C1" t="s">
        <v>62</v>
      </c>
    </row>
    <row r="2" spans="1:3" x14ac:dyDescent="0.35">
      <c r="A2" s="10">
        <v>1</v>
      </c>
      <c r="B2" s="11" t="s">
        <v>27</v>
      </c>
      <c r="C2" t="str">
        <f>A2&amp;" - "&amp;B2</f>
        <v>1 - Banco do Brasil S.A.</v>
      </c>
    </row>
    <row r="3" spans="1:3" x14ac:dyDescent="0.35">
      <c r="A3" s="10">
        <v>3</v>
      </c>
      <c r="B3" s="11" t="s">
        <v>28</v>
      </c>
      <c r="C3" t="str">
        <f t="shared" ref="C3:C36" si="0">A3&amp;" - "&amp;B3</f>
        <v>3 - Banco da Amazônia S.A.</v>
      </c>
    </row>
    <row r="4" spans="1:3" x14ac:dyDescent="0.35">
      <c r="A4" s="10">
        <v>4</v>
      </c>
      <c r="B4" s="11" t="s">
        <v>29</v>
      </c>
      <c r="C4" t="str">
        <f t="shared" si="0"/>
        <v>4 - Banco do Nordeste do Brasil S.A.</v>
      </c>
    </row>
    <row r="5" spans="1:3" x14ac:dyDescent="0.35">
      <c r="A5" s="10">
        <v>70</v>
      </c>
      <c r="B5" s="11" t="s">
        <v>30</v>
      </c>
      <c r="C5" t="str">
        <f t="shared" si="0"/>
        <v>70 - BRB – Banco de Brasília S.A.</v>
      </c>
    </row>
    <row r="6" spans="1:3" x14ac:dyDescent="0.35">
      <c r="A6" s="10">
        <v>77</v>
      </c>
      <c r="B6" s="11" t="s">
        <v>31</v>
      </c>
      <c r="C6" t="str">
        <f t="shared" si="0"/>
        <v>77 - Banco Inter S.A.</v>
      </c>
    </row>
    <row r="7" spans="1:3" x14ac:dyDescent="0.35">
      <c r="A7" s="10">
        <v>104</v>
      </c>
      <c r="B7" s="11" t="s">
        <v>32</v>
      </c>
      <c r="C7" t="str">
        <f t="shared" si="0"/>
        <v>104 - Caixa Econômica Federal</v>
      </c>
    </row>
    <row r="8" spans="1:3" x14ac:dyDescent="0.35">
      <c r="A8" s="10">
        <v>208</v>
      </c>
      <c r="B8" s="11" t="s">
        <v>33</v>
      </c>
      <c r="C8" t="str">
        <f t="shared" si="0"/>
        <v>208 - BTG Pactual S.A.</v>
      </c>
    </row>
    <row r="9" spans="1:3" x14ac:dyDescent="0.35">
      <c r="A9" s="10">
        <v>237</v>
      </c>
      <c r="B9" s="11" t="s">
        <v>34</v>
      </c>
      <c r="C9" t="str">
        <f t="shared" si="0"/>
        <v>237 - Banco Bradesco S.A.</v>
      </c>
    </row>
    <row r="10" spans="1:3" x14ac:dyDescent="0.35">
      <c r="A10" s="10">
        <v>260</v>
      </c>
      <c r="B10" s="11" t="s">
        <v>35</v>
      </c>
      <c r="C10" t="str">
        <f t="shared" si="0"/>
        <v>260 - Nubank (Nu Pagamentos S.A.)</v>
      </c>
    </row>
    <row r="11" spans="1:3" x14ac:dyDescent="0.35">
      <c r="A11" s="10">
        <v>341</v>
      </c>
      <c r="B11" s="11" t="s">
        <v>36</v>
      </c>
      <c r="C11" t="str">
        <f t="shared" si="0"/>
        <v>341 - Banco Itaú Unibanco S.A.</v>
      </c>
    </row>
    <row r="12" spans="1:3" x14ac:dyDescent="0.35">
      <c r="A12" s="10">
        <v>33</v>
      </c>
      <c r="B12" s="11" t="s">
        <v>37</v>
      </c>
      <c r="C12" t="str">
        <f t="shared" si="0"/>
        <v>33 - Banco Santander (Brasil) S.A.</v>
      </c>
    </row>
    <row r="13" spans="1:3" x14ac:dyDescent="0.35">
      <c r="A13" s="10">
        <v>246</v>
      </c>
      <c r="B13" s="11" t="s">
        <v>38</v>
      </c>
      <c r="C13" t="str">
        <f t="shared" si="0"/>
        <v>246 - Banco ABC Brasil S.A.</v>
      </c>
    </row>
    <row r="14" spans="1:3" x14ac:dyDescent="0.35">
      <c r="A14" s="10">
        <v>25</v>
      </c>
      <c r="B14" s="11" t="s">
        <v>39</v>
      </c>
      <c r="C14" t="str">
        <f t="shared" si="0"/>
        <v>25 - Banco Alfa S.A.</v>
      </c>
    </row>
    <row r="15" spans="1:3" x14ac:dyDescent="0.35">
      <c r="A15" s="10">
        <v>318</v>
      </c>
      <c r="B15" s="11" t="s">
        <v>40</v>
      </c>
      <c r="C15" t="str">
        <f t="shared" si="0"/>
        <v>318 - Banco BMG S.A.</v>
      </c>
    </row>
    <row r="16" spans="1:3" x14ac:dyDescent="0.35">
      <c r="A16" s="10">
        <v>330</v>
      </c>
      <c r="B16" s="11" t="s">
        <v>41</v>
      </c>
      <c r="C16" t="str">
        <f t="shared" si="0"/>
        <v>330 - Banco Bari de Investimentos e Financiamentos S.A.</v>
      </c>
    </row>
    <row r="17" spans="1:3" x14ac:dyDescent="0.35">
      <c r="A17" s="10">
        <v>336</v>
      </c>
      <c r="B17" s="11" t="s">
        <v>42</v>
      </c>
      <c r="C17" t="str">
        <f t="shared" si="0"/>
        <v>336 - C6 Bank (C6 Bank S.A.)</v>
      </c>
    </row>
    <row r="18" spans="1:3" x14ac:dyDescent="0.35">
      <c r="A18" s="10">
        <v>739</v>
      </c>
      <c r="B18" s="11" t="s">
        <v>43</v>
      </c>
      <c r="C18" t="str">
        <f t="shared" si="0"/>
        <v>739 - Banco Cetelem S.A.</v>
      </c>
    </row>
    <row r="19" spans="1:3" x14ac:dyDescent="0.35">
      <c r="A19" s="10">
        <v>743</v>
      </c>
      <c r="B19" s="11" t="s">
        <v>44</v>
      </c>
      <c r="C19" t="str">
        <f t="shared" si="0"/>
        <v>743 - Banco Semear S.A.</v>
      </c>
    </row>
    <row r="20" spans="1:3" x14ac:dyDescent="0.35">
      <c r="A20" s="10">
        <v>389</v>
      </c>
      <c r="B20" s="11" t="s">
        <v>45</v>
      </c>
      <c r="C20" t="str">
        <f t="shared" si="0"/>
        <v>389 - Banco Mercantil do Brasil S.A.</v>
      </c>
    </row>
    <row r="21" spans="1:3" x14ac:dyDescent="0.35">
      <c r="A21" s="10">
        <v>422</v>
      </c>
      <c r="B21" s="11" t="s">
        <v>46</v>
      </c>
      <c r="C21" t="str">
        <f t="shared" si="0"/>
        <v>422 - Banco Safra S.A.</v>
      </c>
    </row>
    <row r="22" spans="1:3" x14ac:dyDescent="0.35">
      <c r="A22" s="10">
        <v>653</v>
      </c>
      <c r="B22" s="11" t="s">
        <v>47</v>
      </c>
      <c r="C22" t="str">
        <f t="shared" si="0"/>
        <v>653 - Banco Voiter (ex-Banco Votorantim – códigos podem variar)</v>
      </c>
    </row>
    <row r="23" spans="1:3" x14ac:dyDescent="0.35">
      <c r="A23" s="10">
        <v>745</v>
      </c>
      <c r="B23" s="11" t="s">
        <v>48</v>
      </c>
      <c r="C23" t="str">
        <f t="shared" si="0"/>
        <v>745 - Banco Citibank S.A.</v>
      </c>
    </row>
    <row r="24" spans="1:3" x14ac:dyDescent="0.35">
      <c r="A24" s="10">
        <v>233</v>
      </c>
      <c r="B24" s="11" t="s">
        <v>49</v>
      </c>
      <c r="C24" t="str">
        <f t="shared" si="0"/>
        <v>233 - Banco Sifra S.A.</v>
      </c>
    </row>
    <row r="25" spans="1:3" x14ac:dyDescent="0.35">
      <c r="A25" s="10">
        <v>272</v>
      </c>
      <c r="B25" s="11" t="s">
        <v>50</v>
      </c>
      <c r="C25" t="str">
        <f t="shared" si="0"/>
        <v>272 - AGK Corretora de Câmbio S.A. (banco/câmbio autorizado)</v>
      </c>
    </row>
    <row r="26" spans="1:3" x14ac:dyDescent="0.35">
      <c r="A26" s="10">
        <v>487</v>
      </c>
      <c r="B26" s="11" t="s">
        <v>51</v>
      </c>
      <c r="C26" t="str">
        <f t="shared" si="0"/>
        <v>487 - Deutsche Bank S.A. Banco Múltiplo</v>
      </c>
    </row>
    <row r="27" spans="1:3" x14ac:dyDescent="0.35">
      <c r="A27" s="10">
        <v>610</v>
      </c>
      <c r="B27" s="11" t="s">
        <v>52</v>
      </c>
      <c r="C27" t="str">
        <f t="shared" si="0"/>
        <v>610 - Banco VR S.A.</v>
      </c>
    </row>
    <row r="28" spans="1:3" x14ac:dyDescent="0.35">
      <c r="A28" s="10">
        <v>641</v>
      </c>
      <c r="B28" s="11" t="s">
        <v>53</v>
      </c>
      <c r="C28" t="str">
        <f t="shared" si="0"/>
        <v>641 - Banco Alvorada S.A.</v>
      </c>
    </row>
    <row r="29" spans="1:3" x14ac:dyDescent="0.35">
      <c r="A29" s="10">
        <v>749</v>
      </c>
      <c r="B29" s="11" t="s">
        <v>54</v>
      </c>
      <c r="C29" t="str">
        <f t="shared" si="0"/>
        <v>749 - Banco Simples S.A.</v>
      </c>
    </row>
    <row r="30" spans="1:3" x14ac:dyDescent="0.35">
      <c r="A30" s="10">
        <v>632</v>
      </c>
      <c r="B30" s="11" t="s">
        <v>55</v>
      </c>
      <c r="C30" t="str">
        <f t="shared" si="0"/>
        <v>632 - Banco Modal S.A.</v>
      </c>
    </row>
    <row r="31" spans="1:3" x14ac:dyDescent="0.35">
      <c r="A31" s="10">
        <v>73</v>
      </c>
      <c r="B31" s="11" t="s">
        <v>56</v>
      </c>
      <c r="C31" t="str">
        <f t="shared" si="0"/>
        <v>73 - Banestes – Banco do Estado do Espírito Santo S.A.</v>
      </c>
    </row>
    <row r="32" spans="1:3" x14ac:dyDescent="0.35">
      <c r="A32" s="10">
        <v>41</v>
      </c>
      <c r="B32" s="11" t="s">
        <v>57</v>
      </c>
      <c r="C32" t="str">
        <f t="shared" si="0"/>
        <v>41 - Banrisul – Banco do Estado do Rio Grande do Sul S.A.</v>
      </c>
    </row>
    <row r="33" spans="1:3" x14ac:dyDescent="0.35">
      <c r="A33" s="10">
        <v>47</v>
      </c>
      <c r="B33" s="11" t="s">
        <v>58</v>
      </c>
      <c r="C33" t="str">
        <f t="shared" si="0"/>
        <v>47 - Banco do Estado do Pará S.A. (Banpará)</v>
      </c>
    </row>
    <row r="34" spans="1:3" x14ac:dyDescent="0.35">
      <c r="A34" s="10">
        <v>137</v>
      </c>
      <c r="B34" s="11" t="s">
        <v>59</v>
      </c>
      <c r="C34" t="str">
        <f t="shared" si="0"/>
        <v>137 - Unicred (confederação cooperativa, código cooperativo)</v>
      </c>
    </row>
    <row r="35" spans="1:3" x14ac:dyDescent="0.35">
      <c r="A35" s="10">
        <v>748</v>
      </c>
      <c r="B35" s="11" t="s">
        <v>60</v>
      </c>
      <c r="C35" t="str">
        <f t="shared" si="0"/>
        <v>748 - Banco Cooperativo Sicredi S.A. (cooperativas)</v>
      </c>
    </row>
    <row r="36" spans="1:3" x14ac:dyDescent="0.35">
      <c r="A36" s="10">
        <v>85</v>
      </c>
      <c r="B36" s="11" t="s">
        <v>61</v>
      </c>
      <c r="C36" t="str">
        <f t="shared" si="0"/>
        <v>85 - Ailos – Sistema de Cooperativas de Crédito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LEITE</dc:creator>
  <cp:lastModifiedBy>FLAVIO LEITE</cp:lastModifiedBy>
  <dcterms:created xsi:type="dcterms:W3CDTF">2025-12-21T19:38:45Z</dcterms:created>
  <dcterms:modified xsi:type="dcterms:W3CDTF">2025-12-23T00:42:20Z</dcterms:modified>
</cp:coreProperties>
</file>